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heet1" sheetId="1" state="visible" r:id="rId2"/>
  </sheets>
  <definedNames>
    <definedName function="true" hidden="false" name="ABILITYCALC" vbProcedure="true"/>
    <definedName function="true" hidden="false" name="HPCALC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<sst xmlns="http://schemas.openxmlformats.org/spreadsheetml/2006/main" count="34" uniqueCount="31">
  <si>
    <t xml:space="preserve">进攻方</t>
  </si>
  <si>
    <t xml:space="preserve">防守方</t>
  </si>
  <si>
    <t xml:space="preserve">等级</t>
  </si>
  <si>
    <t xml:space="preserve">攻击种族</t>
  </si>
  <si>
    <t xml:space="preserve">防御种族</t>
  </si>
  <si>
    <t xml:space="preserve">攻击个体</t>
  </si>
  <si>
    <t xml:space="preserve">防御个体</t>
  </si>
  <si>
    <t xml:space="preserve">攻击努力</t>
  </si>
  <si>
    <t xml:space="preserve">防御努力</t>
  </si>
  <si>
    <t xml:space="preserve">性格修正</t>
  </si>
  <si>
    <t xml:space="preserve">面板攻击能力</t>
  </si>
  <si>
    <t xml:space="preserve">面板防御能力</t>
  </si>
  <si>
    <t xml:space="preserve">能力段数</t>
  </si>
  <si>
    <t xml:space="preserve">实际攻击</t>
  </si>
  <si>
    <t xml:space="preserve">实际防御</t>
  </si>
  <si>
    <t xml:space="preserve">技能威力</t>
  </si>
  <si>
    <r>
      <rPr>
        <sz val="10"/>
        <rFont val="Arial"/>
        <family val="2"/>
        <charset val="1"/>
      </rPr>
      <t xml:space="preserve">HP</t>
    </r>
    <r>
      <rPr>
        <sz val="10"/>
        <rFont val="Noto Sans CJK SC Regular"/>
        <family val="2"/>
        <charset val="1"/>
      </rPr>
      <t xml:space="preserve">种族</t>
    </r>
  </si>
  <si>
    <t xml:space="preserve">本系加成</t>
  </si>
  <si>
    <r>
      <rPr>
        <sz val="10"/>
        <rFont val="Arial"/>
        <family val="2"/>
        <charset val="1"/>
      </rPr>
      <t xml:space="preserve">HP</t>
    </r>
    <r>
      <rPr>
        <sz val="10"/>
        <rFont val="Noto Sans CJK SC Regular"/>
        <family val="2"/>
        <charset val="1"/>
      </rPr>
      <t xml:space="preserve">个体</t>
    </r>
  </si>
  <si>
    <t xml:space="preserve">属性克制</t>
  </si>
  <si>
    <r>
      <rPr>
        <sz val="10"/>
        <rFont val="Arial"/>
        <family val="2"/>
        <charset val="1"/>
      </rPr>
      <t xml:space="preserve">HP</t>
    </r>
    <r>
      <rPr>
        <sz val="10"/>
        <rFont val="Noto Sans CJK SC Regular"/>
        <family val="2"/>
        <charset val="1"/>
      </rPr>
      <t xml:space="preserve">努力</t>
    </r>
  </si>
  <si>
    <t xml:space="preserve">道具加成</t>
  </si>
  <si>
    <r>
      <rPr>
        <sz val="10"/>
        <rFont val="Arial"/>
        <family val="2"/>
        <charset val="1"/>
      </rPr>
      <t xml:space="preserve">HP</t>
    </r>
    <r>
      <rPr>
        <sz val="10"/>
        <rFont val="Noto Sans CJK SC Regular"/>
        <family val="2"/>
        <charset val="1"/>
      </rPr>
      <t xml:space="preserve">能力</t>
    </r>
  </si>
  <si>
    <t xml:space="preserve">天气加成</t>
  </si>
  <si>
    <t xml:space="preserve">特性加成</t>
  </si>
  <si>
    <t xml:space="preserve">随机数</t>
  </si>
  <si>
    <t xml:space="preserve">分散加成</t>
  </si>
  <si>
    <t xml:space="preserve">伤害</t>
  </si>
  <si>
    <t xml:space="preserve">状态加成</t>
  </si>
  <si>
    <r>
      <rPr>
        <sz val="10"/>
        <rFont val="Noto Sans CJK SC Regular"/>
        <family val="2"/>
        <charset val="1"/>
      </rPr>
      <t xml:space="preserve">伤害</t>
    </r>
    <r>
      <rPr>
        <sz val="10"/>
        <rFont val="Arial"/>
        <family val="2"/>
        <charset val="1"/>
      </rPr>
      <t xml:space="preserve">%</t>
    </r>
  </si>
  <si>
    <t xml:space="preserve">场地加成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</si>
</sst>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Noto Sans CJK SC Regular"/>
      <family val="2"/>
      <charset val="1"/>
    </font>
    <font>
      <sz val="10"/>
      <name val="Noto Sans CJK SC Regular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  <bgColor rgb="FFCCCCFF"/>
      </patternFill>
    </fill>
    <fill>
      <patternFill patternType="solid">
        <fgColor rgb="FFFFFF00"/>
        <bgColor rgb="FFFFFF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1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RowHeight="12.8"/>
  <cols>
    <col collapsed="false" hidden="false" max="1" min="1" style="0" width="12.780612244898"/>
    <col collapsed="false" hidden="false" max="3" min="3" style="0" width="12.4081632653061"/>
  </cols>
  <sheetData>
    <row r="1" customFormat="false" ht="12.8" hidden="false" customHeight="false" outlineLevel="0" collapsed="false">
      <c r="A1" s="1" t="s">
        <v>0</v>
      </c>
      <c r="C1" s="1" t="s">
        <v>1</v>
      </c>
    </row>
    <row r="2" customFormat="false" ht="12.8" hidden="false" customHeight="false" outlineLevel="0" collapsed="false">
      <c r="A2" s="1"/>
      <c r="C2" s="1"/>
    </row>
    <row r="3" customFormat="false" ht="12.8" hidden="false" customHeight="false" outlineLevel="0" collapsed="false">
      <c r="A3" s="2" t="s">
        <v>2</v>
      </c>
      <c r="B3" s="2" t="n">
        <v>50</v>
      </c>
      <c r="C3" s="2" t="s">
        <v>2</v>
      </c>
      <c r="D3" s="2" t="n">
        <v>50</v>
      </c>
    </row>
    <row r="4" customFormat="false" ht="12.8" hidden="false" customHeight="false" outlineLevel="0" collapsed="false">
      <c r="A4" s="1" t="s">
        <v>3</v>
      </c>
      <c r="B4" s="0" t="n">
        <v>95</v>
      </c>
      <c r="C4" s="1" t="s">
        <v>4</v>
      </c>
      <c r="D4" s="0" t="n">
        <v>65</v>
      </c>
    </row>
    <row r="5" customFormat="false" ht="12.8" hidden="false" customHeight="false" outlineLevel="0" collapsed="false">
      <c r="A5" s="2" t="s">
        <v>5</v>
      </c>
      <c r="B5" s="3" t="n">
        <v>31</v>
      </c>
      <c r="C5" s="2" t="s">
        <v>6</v>
      </c>
      <c r="D5" s="3" t="n">
        <v>31</v>
      </c>
    </row>
    <row r="6" customFormat="false" ht="12.8" hidden="false" customHeight="false" outlineLevel="0" collapsed="false">
      <c r="A6" s="1" t="s">
        <v>7</v>
      </c>
      <c r="B6" s="0" t="n">
        <v>252</v>
      </c>
      <c r="C6" s="1" t="s">
        <v>8</v>
      </c>
      <c r="D6" s="0" t="n">
        <v>252</v>
      </c>
    </row>
    <row r="7" customFormat="false" ht="12.8" hidden="false" customHeight="false" outlineLevel="0" collapsed="false">
      <c r="A7" s="1" t="s">
        <v>9</v>
      </c>
      <c r="B7" s="0" t="n">
        <v>1</v>
      </c>
      <c r="C7" s="1" t="s">
        <v>9</v>
      </c>
      <c r="D7" s="0" t="n">
        <v>1</v>
      </c>
    </row>
    <row r="8" customFormat="false" ht="12.8" hidden="false" customHeight="false" outlineLevel="0" collapsed="false">
      <c r="A8" s="4" t="s">
        <v>10</v>
      </c>
      <c r="B8" s="5" t="n">
        <f aca="false">_xlfn.FLOOR.MATH(ABILITYCALC(B4,B5,B6,B3)*B7)</f>
        <v>147</v>
      </c>
      <c r="C8" s="4" t="s">
        <v>11</v>
      </c>
      <c r="D8" s="5" t="n">
        <f aca="false">ABILITYCALC(D4,D5,D6,D3)*D7</f>
        <v>117</v>
      </c>
    </row>
    <row r="9" customFormat="false" ht="12.8" hidden="false" customHeight="false" outlineLevel="0" collapsed="false">
      <c r="A9" s="1" t="s">
        <v>12</v>
      </c>
      <c r="B9" s="0" t="n">
        <v>2</v>
      </c>
      <c r="C9" s="1" t="s">
        <v>12</v>
      </c>
      <c r="D9" s="0" t="n">
        <v>0</v>
      </c>
    </row>
    <row r="10" customFormat="false" ht="12.8" hidden="false" customHeight="false" outlineLevel="0" collapsed="false">
      <c r="A10" s="4" t="s">
        <v>13</v>
      </c>
      <c r="B10" s="5" t="n">
        <f aca="false">B8*(2+B9)/2</f>
        <v>294</v>
      </c>
      <c r="C10" s="4" t="s">
        <v>14</v>
      </c>
      <c r="D10" s="5" t="n">
        <f aca="false">D8*(2+D9)/2</f>
        <v>117</v>
      </c>
    </row>
    <row r="13" customFormat="false" ht="17.15" hidden="false" customHeight="false" outlineLevel="0" collapsed="false">
      <c r="A13" s="1" t="s">
        <v>15</v>
      </c>
      <c r="B13" s="0" t="n">
        <v>130</v>
      </c>
      <c r="C13" s="0" t="s">
        <v>16</v>
      </c>
      <c r="D13" s="0" t="n">
        <v>160</v>
      </c>
    </row>
    <row r="14" customFormat="false" ht="17.2" hidden="false" customHeight="false" outlineLevel="0" collapsed="false">
      <c r="A14" s="1" t="s">
        <v>17</v>
      </c>
      <c r="B14" s="0" t="n">
        <v>1.5</v>
      </c>
      <c r="C14" s="3" t="s">
        <v>18</v>
      </c>
      <c r="D14" s="3" t="n">
        <v>31</v>
      </c>
    </row>
    <row r="15" customFormat="false" ht="14.2" hidden="false" customHeight="true" outlineLevel="0" collapsed="false">
      <c r="A15" s="1" t="s">
        <v>19</v>
      </c>
      <c r="B15" s="0" t="n">
        <v>1</v>
      </c>
      <c r="C15" s="0" t="s">
        <v>20</v>
      </c>
      <c r="D15" s="0" t="n">
        <v>0</v>
      </c>
    </row>
    <row r="16" customFormat="false" ht="17.2" hidden="false" customHeight="false" outlineLevel="0" collapsed="false">
      <c r="A16" s="1" t="s">
        <v>21</v>
      </c>
      <c r="B16" s="0" t="n">
        <v>1</v>
      </c>
      <c r="C16" s="5" t="s">
        <v>22</v>
      </c>
      <c r="D16" s="5" t="n">
        <f aca="false">HPCALC(D13,D14,D15,D3)</f>
        <v>235</v>
      </c>
    </row>
    <row r="17" customFormat="false" ht="12.8" hidden="false" customHeight="false" outlineLevel="0" collapsed="false">
      <c r="A17" s="1" t="s">
        <v>23</v>
      </c>
      <c r="B17" s="0" t="n">
        <v>1</v>
      </c>
    </row>
    <row r="18" customFormat="false" ht="12.8" hidden="false" customHeight="false" outlineLevel="0" collapsed="false">
      <c r="A18" s="1" t="s">
        <v>24</v>
      </c>
      <c r="B18" s="0" t="n">
        <v>1</v>
      </c>
      <c r="C18" s="6" t="s">
        <v>25</v>
      </c>
      <c r="D18" s="0" t="n">
        <v>1</v>
      </c>
      <c r="E18" s="0" t="n">
        <v>0.85</v>
      </c>
    </row>
    <row r="19" customFormat="false" ht="12.8" hidden="false" customHeight="false" outlineLevel="0" collapsed="false">
      <c r="A19" s="1" t="s">
        <v>26</v>
      </c>
      <c r="B19" s="0" t="n">
        <v>1</v>
      </c>
      <c r="C19" s="4" t="s">
        <v>27</v>
      </c>
      <c r="D19" s="5" t="n">
        <f aca="false">_xlfn.FLOOR.MATH(((2*B3+10)/250*B10/D10*B13+2) * PRODUCT(B14:B21))</f>
        <v>218</v>
      </c>
      <c r="E19" s="5" t="n">
        <f aca="false">_xlfn.FLOOR.MATH(D19*E18)</f>
        <v>185</v>
      </c>
    </row>
    <row r="20" customFormat="false" ht="17.2" hidden="false" customHeight="false" outlineLevel="0" collapsed="false">
      <c r="A20" s="1" t="s">
        <v>28</v>
      </c>
      <c r="B20" s="0" t="n">
        <v>1</v>
      </c>
      <c r="C20" s="4" t="s">
        <v>29</v>
      </c>
      <c r="D20" s="5" t="n">
        <f aca="false">D19/D16</f>
        <v>0.927659574468085</v>
      </c>
      <c r="E20" s="5" t="n">
        <f aca="false">E19/D16</f>
        <v>0.787234042553192</v>
      </c>
    </row>
    <row r="21" customFormat="false" ht="12.8" hidden="false" customHeight="false" outlineLevel="0" collapsed="false">
      <c r="A21" s="1" t="s">
        <v>30</v>
      </c>
      <c r="B21" s="0" t="n"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2018-02-24T09:24:40Z</dcterms:created>
  <dc:creator/>
  <dc:description/>
  <dc:language>en-US</dc:language>
  <cp:lastModifiedBy/>
  <dcterms:modified xsi:type="dcterms:W3CDTF">2018-02-24T11:57:02Z</dcterms:modified>
  <cp:revision>25</cp:revision>
  <dc:subject/>
  <dc:title/>
</cp:coreProperties>
</file>